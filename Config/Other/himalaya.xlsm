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1475" windowHeight="570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3" i="1"/>
  <c r="G69"/>
  <c r="G68"/>
  <c r="H57"/>
  <c r="H50"/>
  <c r="H27"/>
  <c r="H16"/>
  <c r="H4"/>
  <c r="G41"/>
  <c r="G40"/>
  <c r="G31"/>
  <c r="G67"/>
  <c r="F50"/>
  <c r="G56"/>
  <c r="G5"/>
  <c r="F57"/>
  <c r="G65"/>
  <c r="G66"/>
  <c r="G59"/>
  <c r="G60"/>
  <c r="G61"/>
  <c r="G62"/>
  <c r="G63"/>
  <c r="G64"/>
  <c r="G58"/>
  <c r="G52"/>
  <c r="G53"/>
  <c r="G54"/>
  <c r="G55"/>
  <c r="G51"/>
  <c r="G50" s="1"/>
  <c r="G29"/>
  <c r="G30"/>
  <c r="G32"/>
  <c r="G33"/>
  <c r="G34"/>
  <c r="G35"/>
  <c r="G36"/>
  <c r="G37"/>
  <c r="G38"/>
  <c r="G39"/>
  <c r="G42"/>
  <c r="G43"/>
  <c r="G44"/>
  <c r="G45"/>
  <c r="G46"/>
  <c r="G47"/>
  <c r="G48"/>
  <c r="G49"/>
  <c r="G28"/>
  <c r="G18"/>
  <c r="G19"/>
  <c r="G20"/>
  <c r="G21"/>
  <c r="G22"/>
  <c r="G23"/>
  <c r="G24"/>
  <c r="G25"/>
  <c r="G26"/>
  <c r="G17"/>
  <c r="G6"/>
  <c r="G7"/>
  <c r="G8"/>
  <c r="G9"/>
  <c r="G10"/>
  <c r="G11"/>
  <c r="G12"/>
  <c r="G13"/>
  <c r="G14"/>
  <c r="G15"/>
  <c r="F27"/>
  <c r="F16"/>
  <c r="F4"/>
  <c r="G27" l="1"/>
  <c r="G57"/>
  <c r="F3"/>
  <c r="G16"/>
  <c r="G4"/>
  <c r="G3" l="1"/>
</calcChain>
</file>

<file path=xl/sharedStrings.xml><?xml version="1.0" encoding="utf-8"?>
<sst xmlns="http://schemas.openxmlformats.org/spreadsheetml/2006/main" count="148" uniqueCount="95">
  <si>
    <t>Partie supérieure du corps</t>
  </si>
  <si>
    <t xml:space="preserve"> bonnet de laine</t>
  </si>
  <si>
    <t xml:space="preserve"> casquette ou chapeau de soleil</t>
  </si>
  <si>
    <t xml:space="preserve"> gants de bonne qualité.</t>
  </si>
  <si>
    <t>Partie inférieure du corps</t>
  </si>
  <si>
    <t xml:space="preserve"> chaussures de rando</t>
  </si>
  <si>
    <t xml:space="preserve"> claquettes</t>
  </si>
  <si>
    <t>Accessoires</t>
  </si>
  <si>
    <t xml:space="preserve"> matelas de sol  </t>
  </si>
  <si>
    <t xml:space="preserve"> lampe frontale et pile de rechange</t>
  </si>
  <si>
    <t xml:space="preserve"> guide de trekking, lonely planet</t>
  </si>
  <si>
    <t xml:space="preserve"> ceinture sangle</t>
  </si>
  <si>
    <t xml:space="preserve"> savon multi-usage biodégradable (corps, vêtements) ;</t>
  </si>
  <si>
    <t xml:space="preserve"> brosse à dents / dentifrice</t>
  </si>
  <si>
    <t xml:space="preserve"> rasoir</t>
  </si>
  <si>
    <t>Descriptif</t>
  </si>
  <si>
    <t>Quantité</t>
  </si>
  <si>
    <t xml:space="preserve"> papier hygiénique (rouleaux)</t>
  </si>
  <si>
    <t xml:space="preserve"> serviette en viscose</t>
  </si>
  <si>
    <t xml:space="preserve"> cadenas (un petit et un gros)</t>
  </si>
  <si>
    <t xml:space="preserve"> maillots de corps synthétiques manches longues ;</t>
  </si>
  <si>
    <t xml:space="preserve"> T-shirt à manches longues ;</t>
  </si>
  <si>
    <t xml:space="preserve"> T-shirts à manches courtes ;</t>
  </si>
  <si>
    <t xml:space="preserve"> chemise à manches longues</t>
  </si>
  <si>
    <t xml:space="preserve"> coupe vent très imperméable</t>
  </si>
  <si>
    <t xml:space="preserve"> veste en laine polaire légère</t>
  </si>
  <si>
    <t xml:space="preserve"> veste en laine polaire chaude</t>
  </si>
  <si>
    <t xml:space="preserve"> sous-vêtements courts en tissu synthétique ;</t>
  </si>
  <si>
    <t xml:space="preserve"> sous-vêtement long (synthétique light ou mid weight); </t>
  </si>
  <si>
    <t xml:space="preserve"> sous-vêtement long thermal ou en laine polaire moyenne ; </t>
  </si>
  <si>
    <t xml:space="preserve"> pantalons de trekking </t>
  </si>
  <si>
    <t xml:space="preserve"> pantalons de trekking pouvant se convertir en short</t>
  </si>
  <si>
    <t>Inutile donc indispensable</t>
  </si>
  <si>
    <t xml:space="preserve"> peluche - mascotte</t>
  </si>
  <si>
    <t xml:space="preserve"> pc/tablette</t>
  </si>
  <si>
    <t xml:space="preserve"> téléphone IP68</t>
  </si>
  <si>
    <t xml:space="preserve"> batterie de secours</t>
  </si>
  <si>
    <t xml:space="preserve"> écouteurs</t>
  </si>
  <si>
    <t xml:space="preserve"> disque dur</t>
  </si>
  <si>
    <t>Lien</t>
  </si>
  <si>
    <t xml:space="preserve"> gourde de 1 litre filtrante</t>
  </si>
  <si>
    <t xml:space="preserve"> porte-gourde isolant</t>
  </si>
  <si>
    <t xml:space="preserve"> pastilles d'iode, Micropur ou Aqua Lung Pristine (eau)</t>
  </si>
  <si>
    <t xml:space="preserve"> lunettes de soleil de bonne qualité (Cecchinel Cebe...) </t>
  </si>
  <si>
    <t xml:space="preserve"> bâtons de marche télescopiques</t>
  </si>
  <si>
    <t xml:space="preserve"> sac de couchage (-20°C à -25°C)</t>
  </si>
  <si>
    <t xml:space="preserve"> sac de jour 30 litres</t>
  </si>
  <si>
    <t xml:space="preserve"> sac à dos 60 litres</t>
  </si>
  <si>
    <t>http://www.randonneurs.eu/TRAITEMENT-EAU-NATURE/310-Gourde-Filtrante-CLEAR-WATER-Noire-WATER-TO-GO.html</t>
  </si>
  <si>
    <t xml:space="preserve"> filtre de rechange</t>
  </si>
  <si>
    <t>http://www.randonneurs.eu/Traitement-Eau-de-Survie/312-Filtre-Rechange-Gourde-Clear-Water-To-Go-BCB-International.html</t>
  </si>
  <si>
    <t>Poids total</t>
  </si>
  <si>
    <t>Poids unité</t>
  </si>
  <si>
    <t>http://www.focus-numerique.com/test-1848/compact-canon-g1x-mark-II-presentation-caracteristiques-1.html</t>
  </si>
  <si>
    <t xml:space="preserve"> appareil photo</t>
  </si>
  <si>
    <t xml:space="preserve"> couteau de poche</t>
  </si>
  <si>
    <t xml:space="preserve"> porte-monnaie de voyage (à suspendre au cou)</t>
  </si>
  <si>
    <t xml:space="preserve"> sachets d'aliments énergétiques (noix, fruits séchés)</t>
  </si>
  <si>
    <t xml:space="preserve"> journal de voyage et stylo / crayons</t>
  </si>
  <si>
    <t>http://www.randonneurs.eu/Materiel-Kit-Survie/248-Boussole-Mousqueton-BCB-International.html</t>
  </si>
  <si>
    <t>http://www.randonneurs.eu/OPTIQUE-ET-JUMELLES/618-Monoculaire-NORTHUMBERLAND-10x25-HIGHLANDER.html</t>
  </si>
  <si>
    <t xml:space="preserve"> boussole</t>
  </si>
  <si>
    <t xml:space="preserve"> jumelle</t>
  </si>
  <si>
    <t xml:space="preserve"> bracelet paracorde</t>
  </si>
  <si>
    <t>http://www.randonneurs.eu/BRACELET-PARACORDE/170-Bracelet-Paracorde-Nylon-avec-Manille-Inox-300-cm-TAN-HIGHLANDER-PRO-FORCE.html</t>
  </si>
  <si>
    <t>http://www.decathlon.fr/1-baton-forclaz-500-light-id_8270740.html</t>
  </si>
  <si>
    <t>http://www.decathlon.fr/forclaz-400-homme-noir-id_8302503.html</t>
  </si>
  <si>
    <t>http://www.randonneurs.eu/Micropur-Katadyn/1263-Comprime-MICROPUR-Classique-MC-1T-KATADYN.html</t>
  </si>
  <si>
    <t>https://www.amazon.fr/Blackview-Smartphone-Octa-core-Android-1280pixel/dp/B01HGGCG4S/ref=sr_1_1/256-2692136-1894434?ie=UTF8&amp;qid=1472043957&amp;sr=8-1&amp;keywords=blackview+bv6000</t>
  </si>
  <si>
    <t>http://www.darty.com/nav/achat/informatique/ordinateur_portable/portable_hybride/acer_switch_s1002-16n3.html?dartycid=sea_shopping-online_PLA-Informatique/PC-Hybride---PC-2-en-1_adgroup_PC-Hybride---PC-2-en-1/Acer-custom-label-produit-en-reduction&amp;s_kwcid=AL!289!3!{creative}!{matchtype}!{placement}!{network}!!{keyword}&amp;ef_id=V72WOAAABVlphCDZ:20160824130641:s</t>
  </si>
  <si>
    <t>https://www.decathlon.fr/arpenaz-500-homme-beige-id_8329528.html</t>
  </si>
  <si>
    <t>https://www.decathlon.fr/ts-ml-techwool-190-zip-noir-m-id_8316088.html</t>
  </si>
  <si>
    <t>https://www.decathlon.fr/forclaz-100-modul-homme-grisfo-id_8317947.html</t>
  </si>
  <si>
    <t xml:space="preserve"> chech</t>
  </si>
  <si>
    <t>Hygiène / Pharmacie</t>
  </si>
  <si>
    <t xml:space="preserve"> trousse de secours</t>
  </si>
  <si>
    <t xml:space="preserve"> tente</t>
  </si>
  <si>
    <t>http://www.decathlon.fr/tente-ferrino-t-lite-1-id_8211278.html</t>
  </si>
  <si>
    <t>Stock</t>
  </si>
  <si>
    <t>v</t>
  </si>
  <si>
    <t>x</t>
  </si>
  <si>
    <t xml:space="preserve"> chaussettes de nuit / neige</t>
  </si>
  <si>
    <t xml:space="preserve"> chaussettes de rando classique</t>
  </si>
  <si>
    <t xml:space="preserve"> chaussettes de rando technique (Thorlo...)</t>
  </si>
  <si>
    <t xml:space="preserve"> contre housse de couchage</t>
  </si>
  <si>
    <t>http://www.randonneurs.eu/Gourde-Nalgene/2002-Porte-Gourde-12x5-KHAKI-MAXPEDITION.html</t>
  </si>
  <si>
    <t xml:space="preserve"> kit rechaud + briquet</t>
  </si>
  <si>
    <t>http://www.randonneurs.eu/RECHAUDS-BUSHCRAFT/1522-Kit-Rechaud-Bushcraft-BCB-International.html</t>
  </si>
  <si>
    <t xml:space="preserve"> quart</t>
  </si>
  <si>
    <t>http://www.randonneurs.eu/Popote-Vaisselle-Camping/927-Quart-Inox-35-cl-CAO.html</t>
  </si>
  <si>
    <t>Prix</t>
  </si>
  <si>
    <t>carte µSD</t>
  </si>
  <si>
    <t>https://www.amazon.fr/Memory-CAMERA-SAMSUNG-GALAXY-MOBILE/dp/B00SC8QF56/ref=sr_1_14?s=electronics&amp;ie=UTF8&amp;qid=1472202782&amp;sr=1-14&amp;keywords=carte+micro+sd+128+go</t>
  </si>
  <si>
    <t>DD ext 2To</t>
  </si>
  <si>
    <t>https://www.amazon.fr/Samsung-Portable-Disque-externe-portable/dp/B00FZU9JYI/ref=sr_1_8?s=electronics&amp;ie=UTF8&amp;qid=1472216636&amp;sr=1-8&amp;keywords=disque+dur+externe+1+to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</si>
</sst>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4" borderId="2" xfId="0" applyFont="1" applyFill="1" applyBorder="1"/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3" fillId="6" borderId="1" xfId="1" applyFill="1" applyBorder="1" applyAlignment="1" applyProtection="1">
      <alignment horizontal="left"/>
    </xf>
    <xf numFmtId="0" fontId="3" fillId="2" borderId="1" xfId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8">
    <dxf>
      <font>
        <b/>
        <i val="0"/>
        <color rgb="FF00800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C00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800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C00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800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C00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800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C00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008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ecathlon.fr/1-baton-forclaz-500-light-id_8270740.html" TargetMode="External"/><Relationship Id="rId13" Type="http://schemas.openxmlformats.org/officeDocument/2006/relationships/hyperlink" Target="https://www.decathlon.fr/ts-ml-techwool-190-zip-noir-m-id_8316088.html" TargetMode="External"/><Relationship Id="rId18" Type="http://schemas.openxmlformats.org/officeDocument/2006/relationships/hyperlink" Target="https://www.amazon.fr/Memory-CAMERA-SAMSUNG-GALAXY-MOBILE/dp/B00SC8QF56/ref=sr_1_14?s=electronics&amp;ie=UTF8&amp;qid=1472202782&amp;sr=1-14&amp;keywords=carte+micro+sd+128+go" TargetMode="External"/><Relationship Id="rId3" Type="http://schemas.openxmlformats.org/officeDocument/2006/relationships/hyperlink" Target="http://www.randonneurs.eu/Gourde-Nalgene/2002-Porte-Gourde-12x5-KHAKI-MAXPEDITION.html" TargetMode="External"/><Relationship Id="rId7" Type="http://schemas.openxmlformats.org/officeDocument/2006/relationships/hyperlink" Target="http://www.randonneurs.eu/BRACELET-PARACORDE/170-Bracelet-Paracorde-Nylon-avec-Manille-Inox-300-cm-TAN-HIGHLANDER-PRO-FORCE.html" TargetMode="External"/><Relationship Id="rId12" Type="http://schemas.openxmlformats.org/officeDocument/2006/relationships/hyperlink" Target="https://www.decathlon.fr/arpenaz-500-homme-beige-id_8329528.html" TargetMode="External"/><Relationship Id="rId17" Type="http://schemas.openxmlformats.org/officeDocument/2006/relationships/hyperlink" Target="http://www.randonneurs.eu/Popote-Vaisselle-Camping/927-Quart-Inox-35-cl-CAO.html" TargetMode="External"/><Relationship Id="rId2" Type="http://schemas.openxmlformats.org/officeDocument/2006/relationships/hyperlink" Target="http://www.randonneurs.eu/Traitement-Eau-de-Survie/312-Filtre-Rechange-Gourde-Clear-Water-To-Go-BCB-International.html" TargetMode="External"/><Relationship Id="rId16" Type="http://schemas.openxmlformats.org/officeDocument/2006/relationships/hyperlink" Target="http://www.randonneurs.eu/RECHAUDS-BUSHCRAFT/1522-Kit-Rechaud-Bushcraft-BCB-International.html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www.randonneurs.eu/TRAITEMENT-EAU-NATURE/310-Gourde-Filtrante-CLEAR-WATER-Noire-WATER-TO-GO.html" TargetMode="External"/><Relationship Id="rId6" Type="http://schemas.openxmlformats.org/officeDocument/2006/relationships/hyperlink" Target="http://www.randonneurs.eu/OPTIQUE-ET-JUMELLES/618-Monoculaire-NORTHUMBERLAND-10x25-HIGHLANDER.html" TargetMode="External"/><Relationship Id="rId11" Type="http://schemas.openxmlformats.org/officeDocument/2006/relationships/hyperlink" Target="https://www.amazon.fr/Blackview-Smartphone-Octa-core-Android-1280pixel/dp/B01HGGCG4S/ref=sr_1_1/256-2692136-1894434?ie=UTF8&amp;qid=1472043957&amp;sr=8-1&amp;keywords=blackview+bv6000" TargetMode="External"/><Relationship Id="rId5" Type="http://schemas.openxmlformats.org/officeDocument/2006/relationships/hyperlink" Target="http://www.randonneurs.eu/Materiel-Kit-Survie/248-Boussole-Mousqueton-BCB-International.html" TargetMode="External"/><Relationship Id="rId15" Type="http://schemas.openxmlformats.org/officeDocument/2006/relationships/hyperlink" Target="http://www.decathlon.fr/tente-ferrino-t-lite-1-id_8211278.html" TargetMode="External"/><Relationship Id="rId10" Type="http://schemas.openxmlformats.org/officeDocument/2006/relationships/hyperlink" Target="http://www.randonneurs.eu/Micropur-Katadyn/1263-Comprime-MICROPUR-Classique-MC-1T-KATADYN.html" TargetMode="External"/><Relationship Id="rId19" Type="http://schemas.openxmlformats.org/officeDocument/2006/relationships/hyperlink" Target="https://www.amazon.fr/Samsung-Portable-Disque-externe-portable/dp/B00FZU9JYI/ref=sr_1_8?s=electronics&amp;ie=UTF8&amp;qid=1472216636&amp;sr=1-8&amp;keywords=disque+dur+externe+1+to" TargetMode="External"/><Relationship Id="rId4" Type="http://schemas.openxmlformats.org/officeDocument/2006/relationships/hyperlink" Target="http://www.focus-numerique.com/test-1848/compact-canon-g1x-mark-II-presentation-caracteristiques-1.html" TargetMode="External"/><Relationship Id="rId9" Type="http://schemas.openxmlformats.org/officeDocument/2006/relationships/hyperlink" Target="http://www.decathlon.fr/forclaz-400-homme-noir-id_8302503.html" TargetMode="External"/><Relationship Id="rId14" Type="http://schemas.openxmlformats.org/officeDocument/2006/relationships/hyperlink" Target="https://www.decathlon.fr/forclaz-100-modul-homme-grisfo-id_8317947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H75"/>
  <sheetViews>
    <sheetView tabSelected="1" workbookViewId="0">
      <pane ySplit="3" topLeftCell="A28" activePane="bottomLeft" state="frozen"/>
      <selection pane="bottomLeft" activeCell="I22" sqref="I22"/>
    </sheetView>
  </sheetViews>
  <sheetFormatPr defaultRowHeight="15"/>
  <cols>
    <col min="1" max="1" width="3.140625" customWidth="1"/>
    <col min="2" max="2" width="63.42578125" customWidth="1"/>
    <col min="3" max="3" width="9.140625" style="1"/>
    <col min="4" max="4" width="5.7109375" style="1" bestFit="1" customWidth="1"/>
    <col min="5" max="5" width="17" style="6" customWidth="1"/>
    <col min="6" max="7" width="9.140625" style="1"/>
    <col min="8" max="8" width="4.42578125" style="1" bestFit="1" customWidth="1"/>
  </cols>
  <sheetData>
    <row r="2" spans="2:8" s="10" customFormat="1" ht="30" customHeight="1">
      <c r="B2" s="7" t="s">
        <v>15</v>
      </c>
      <c r="C2" s="8" t="s">
        <v>16</v>
      </c>
      <c r="D2" s="8" t="s">
        <v>78</v>
      </c>
      <c r="E2" s="8" t="s">
        <v>39</v>
      </c>
      <c r="F2" s="9" t="s">
        <v>52</v>
      </c>
      <c r="G2" s="9" t="s">
        <v>51</v>
      </c>
      <c r="H2" s="9" t="s">
        <v>90</v>
      </c>
    </row>
    <row r="3" spans="2:8" s="10" customFormat="1" ht="13.5" customHeight="1">
      <c r="B3" s="11"/>
      <c r="C3" s="12"/>
      <c r="D3" s="12"/>
      <c r="E3" s="12"/>
      <c r="F3" s="13">
        <f>SUM(F4,F16,F27,F50,F57)</f>
        <v>13850</v>
      </c>
      <c r="G3" s="13">
        <f>SUM(G4,G16,G27,G50,G57)</f>
        <v>14640</v>
      </c>
      <c r="H3" s="13">
        <f>SUM(H4,H16,H27,H50,H57)</f>
        <v>827.6</v>
      </c>
    </row>
    <row r="4" spans="2:8">
      <c r="B4" s="2" t="s">
        <v>0</v>
      </c>
      <c r="C4" s="3"/>
      <c r="D4" s="3"/>
      <c r="E4" s="5"/>
      <c r="F4" s="4">
        <f>SUM(F5:F15)</f>
        <v>2149</v>
      </c>
      <c r="G4" s="4">
        <f>SUM(G5:G15)</f>
        <v>2249</v>
      </c>
      <c r="H4" s="4">
        <f>SUM(H5:H15)</f>
        <v>0</v>
      </c>
    </row>
    <row r="5" spans="2:8">
      <c r="B5" s="16" t="s">
        <v>1</v>
      </c>
      <c r="C5" s="17">
        <v>1</v>
      </c>
      <c r="D5" s="17" t="s">
        <v>79</v>
      </c>
      <c r="E5" s="18"/>
      <c r="F5" s="17">
        <v>0</v>
      </c>
      <c r="G5" s="17">
        <f>F5*C5</f>
        <v>0</v>
      </c>
      <c r="H5" s="17"/>
    </row>
    <row r="6" spans="2:8">
      <c r="B6" s="14" t="s">
        <v>2</v>
      </c>
      <c r="C6" s="15">
        <v>1</v>
      </c>
      <c r="D6" s="17" t="s">
        <v>79</v>
      </c>
      <c r="E6" s="19"/>
      <c r="F6" s="15">
        <v>0</v>
      </c>
      <c r="G6" s="15">
        <f>F6*C6</f>
        <v>0</v>
      </c>
      <c r="H6" s="15"/>
    </row>
    <row r="7" spans="2:8">
      <c r="B7" s="16" t="s">
        <v>73</v>
      </c>
      <c r="C7" s="17">
        <v>1</v>
      </c>
      <c r="D7" s="17" t="s">
        <v>79</v>
      </c>
      <c r="E7" s="18"/>
      <c r="F7" s="17">
        <v>0</v>
      </c>
      <c r="G7" s="17">
        <f>F7*C7</f>
        <v>0</v>
      </c>
      <c r="H7" s="17"/>
    </row>
    <row r="8" spans="2:8">
      <c r="B8" s="14" t="s">
        <v>20</v>
      </c>
      <c r="C8" s="15">
        <v>1</v>
      </c>
      <c r="D8" s="17" t="s">
        <v>79</v>
      </c>
      <c r="E8" s="19" t="s">
        <v>71</v>
      </c>
      <c r="F8" s="15">
        <v>219</v>
      </c>
      <c r="G8" s="15">
        <f>F8*C8</f>
        <v>219</v>
      </c>
      <c r="H8" s="15"/>
    </row>
    <row r="9" spans="2:8">
      <c r="B9" s="16" t="s">
        <v>21</v>
      </c>
      <c r="C9" s="17">
        <v>1</v>
      </c>
      <c r="D9" s="17"/>
      <c r="E9" s="18"/>
      <c r="F9" s="17">
        <v>200</v>
      </c>
      <c r="G9" s="17">
        <f>F9*C9</f>
        <v>200</v>
      </c>
      <c r="H9" s="17"/>
    </row>
    <row r="10" spans="2:8">
      <c r="B10" s="14" t="s">
        <v>22</v>
      </c>
      <c r="C10" s="15">
        <v>2</v>
      </c>
      <c r="D10" s="17"/>
      <c r="E10" s="19"/>
      <c r="F10" s="15">
        <v>100</v>
      </c>
      <c r="G10" s="15">
        <f>F10*C10</f>
        <v>200</v>
      </c>
      <c r="H10" s="15"/>
    </row>
    <row r="11" spans="2:8">
      <c r="B11" s="16" t="s">
        <v>23</v>
      </c>
      <c r="C11" s="17">
        <v>1</v>
      </c>
      <c r="D11" s="17" t="s">
        <v>79</v>
      </c>
      <c r="E11" s="18" t="s">
        <v>70</v>
      </c>
      <c r="F11" s="17">
        <v>200</v>
      </c>
      <c r="G11" s="17">
        <f>F11*C11</f>
        <v>200</v>
      </c>
      <c r="H11" s="17"/>
    </row>
    <row r="12" spans="2:8">
      <c r="B12" s="14" t="s">
        <v>24</v>
      </c>
      <c r="C12" s="15">
        <v>1</v>
      </c>
      <c r="D12" s="17" t="s">
        <v>79</v>
      </c>
      <c r="E12" s="19" t="s">
        <v>66</v>
      </c>
      <c r="F12" s="15">
        <v>630</v>
      </c>
      <c r="G12" s="15">
        <f>F12*C12</f>
        <v>630</v>
      </c>
      <c r="H12" s="15"/>
    </row>
    <row r="13" spans="2:8">
      <c r="B13" s="16" t="s">
        <v>25</v>
      </c>
      <c r="C13" s="17">
        <v>1</v>
      </c>
      <c r="D13" s="17" t="s">
        <v>79</v>
      </c>
      <c r="E13" s="18"/>
      <c r="F13" s="17">
        <v>200</v>
      </c>
      <c r="G13" s="17">
        <f>F13*C13</f>
        <v>200</v>
      </c>
      <c r="H13" s="17"/>
    </row>
    <row r="14" spans="2:8">
      <c r="B14" s="14" t="s">
        <v>26</v>
      </c>
      <c r="C14" s="15">
        <v>1</v>
      </c>
      <c r="D14" s="17" t="s">
        <v>79</v>
      </c>
      <c r="E14" s="19"/>
      <c r="F14" s="15">
        <v>600</v>
      </c>
      <c r="G14" s="15">
        <f>F14*C14</f>
        <v>600</v>
      </c>
      <c r="H14" s="15"/>
    </row>
    <row r="15" spans="2:8">
      <c r="B15" s="16" t="s">
        <v>3</v>
      </c>
      <c r="C15" s="17">
        <v>1</v>
      </c>
      <c r="D15" s="17"/>
      <c r="E15" s="18"/>
      <c r="F15" s="17">
        <v>0</v>
      </c>
      <c r="G15" s="17">
        <f>F15*C15</f>
        <v>0</v>
      </c>
      <c r="H15" s="17"/>
    </row>
    <row r="16" spans="2:8">
      <c r="B16" s="2" t="s">
        <v>4</v>
      </c>
      <c r="C16" s="3"/>
      <c r="D16" s="3"/>
      <c r="E16" s="5"/>
      <c r="F16" s="4">
        <f>SUM(F17:F26)</f>
        <v>1420</v>
      </c>
      <c r="G16" s="4">
        <f>SUM(G17:G26)</f>
        <v>1820</v>
      </c>
      <c r="H16" s="4">
        <f>SUM(H17:H26)</f>
        <v>0</v>
      </c>
    </row>
    <row r="17" spans="2:8">
      <c r="B17" s="16" t="s">
        <v>27</v>
      </c>
      <c r="C17" s="17">
        <v>2</v>
      </c>
      <c r="D17" s="17"/>
      <c r="E17" s="18"/>
      <c r="F17" s="17">
        <v>100</v>
      </c>
      <c r="G17" s="17">
        <f>F17*C17</f>
        <v>200</v>
      </c>
      <c r="H17" s="17"/>
    </row>
    <row r="18" spans="2:8">
      <c r="B18" s="14" t="s">
        <v>28</v>
      </c>
      <c r="C18" s="15">
        <v>1</v>
      </c>
      <c r="D18" s="17"/>
      <c r="E18" s="19"/>
      <c r="F18" s="15">
        <v>100</v>
      </c>
      <c r="G18" s="15">
        <f>F18*C18</f>
        <v>100</v>
      </c>
      <c r="H18" s="15"/>
    </row>
    <row r="19" spans="2:8">
      <c r="B19" s="16" t="s">
        <v>29</v>
      </c>
      <c r="C19" s="17">
        <v>1</v>
      </c>
      <c r="D19" s="17"/>
      <c r="E19" s="18"/>
      <c r="F19" s="17">
        <v>100</v>
      </c>
      <c r="G19" s="17">
        <f>F19*C19</f>
        <v>100</v>
      </c>
      <c r="H19" s="17"/>
    </row>
    <row r="20" spans="2:8">
      <c r="B20" s="14" t="s">
        <v>30</v>
      </c>
      <c r="C20" s="15">
        <v>1</v>
      </c>
      <c r="D20" s="17" t="s">
        <v>79</v>
      </c>
      <c r="E20" s="19"/>
      <c r="F20" s="15">
        <v>350</v>
      </c>
      <c r="G20" s="15">
        <f>F20*C20</f>
        <v>350</v>
      </c>
      <c r="H20" s="15"/>
    </row>
    <row r="21" spans="2:8">
      <c r="B21" s="16" t="s">
        <v>31</v>
      </c>
      <c r="C21" s="17">
        <v>1</v>
      </c>
      <c r="D21" s="17" t="s">
        <v>80</v>
      </c>
      <c r="E21" s="18" t="s">
        <v>72</v>
      </c>
      <c r="F21" s="17">
        <v>370</v>
      </c>
      <c r="G21" s="17">
        <f>F21*C21</f>
        <v>370</v>
      </c>
      <c r="H21" s="17"/>
    </row>
    <row r="22" spans="2:8">
      <c r="B22" s="14" t="s">
        <v>5</v>
      </c>
      <c r="C22" s="15">
        <v>1</v>
      </c>
      <c r="D22" s="17" t="s">
        <v>79</v>
      </c>
      <c r="E22" s="19"/>
      <c r="F22" s="15">
        <v>0</v>
      </c>
      <c r="G22" s="15">
        <f>F22*C22</f>
        <v>0</v>
      </c>
      <c r="H22" s="15"/>
    </row>
    <row r="23" spans="2:8">
      <c r="B23" s="16" t="s">
        <v>6</v>
      </c>
      <c r="C23" s="17">
        <v>1</v>
      </c>
      <c r="D23" s="17" t="s">
        <v>79</v>
      </c>
      <c r="E23" s="18"/>
      <c r="F23" s="17">
        <v>0</v>
      </c>
      <c r="G23" s="17">
        <f>F23*C23</f>
        <v>0</v>
      </c>
      <c r="H23" s="17"/>
    </row>
    <row r="24" spans="2:8">
      <c r="B24" s="14" t="s">
        <v>83</v>
      </c>
      <c r="C24" s="15">
        <v>2</v>
      </c>
      <c r="D24" s="17" t="s">
        <v>79</v>
      </c>
      <c r="E24" s="19"/>
      <c r="F24" s="15">
        <v>100</v>
      </c>
      <c r="G24" s="15">
        <f>F24*C24</f>
        <v>200</v>
      </c>
      <c r="H24" s="15"/>
    </row>
    <row r="25" spans="2:8">
      <c r="B25" s="16" t="s">
        <v>81</v>
      </c>
      <c r="C25" s="17">
        <v>1</v>
      </c>
      <c r="D25" s="17" t="s">
        <v>79</v>
      </c>
      <c r="E25" s="18"/>
      <c r="F25" s="17">
        <v>100</v>
      </c>
      <c r="G25" s="17">
        <f>F25*C25</f>
        <v>100</v>
      </c>
      <c r="H25" s="17"/>
    </row>
    <row r="26" spans="2:8">
      <c r="B26" s="14" t="s">
        <v>82</v>
      </c>
      <c r="C26" s="15">
        <v>2</v>
      </c>
      <c r="D26" s="17" t="s">
        <v>79</v>
      </c>
      <c r="E26" s="19"/>
      <c r="F26" s="15">
        <v>200</v>
      </c>
      <c r="G26" s="15">
        <f>F26*C26</f>
        <v>400</v>
      </c>
      <c r="H26" s="15"/>
    </row>
    <row r="27" spans="2:8">
      <c r="B27" s="2" t="s">
        <v>7</v>
      </c>
      <c r="C27" s="3"/>
      <c r="D27" s="3"/>
      <c r="E27" s="5"/>
      <c r="F27" s="4">
        <f>SUM(F28:F49)</f>
        <v>6430</v>
      </c>
      <c r="G27" s="4">
        <f>SUM(G28:G49)</f>
        <v>6700</v>
      </c>
      <c r="H27" s="4">
        <f>SUM(H28:H49)</f>
        <v>708.6</v>
      </c>
    </row>
    <row r="28" spans="2:8">
      <c r="B28" s="16" t="s">
        <v>47</v>
      </c>
      <c r="C28" s="17">
        <v>1</v>
      </c>
      <c r="D28" s="17" t="s">
        <v>79</v>
      </c>
      <c r="E28" s="18"/>
      <c r="F28" s="17">
        <v>2500</v>
      </c>
      <c r="G28" s="17">
        <f>F28*C28</f>
        <v>2500</v>
      </c>
      <c r="H28" s="17"/>
    </row>
    <row r="29" spans="2:8">
      <c r="B29" s="14" t="s">
        <v>46</v>
      </c>
      <c r="C29" s="15">
        <v>1</v>
      </c>
      <c r="D29" s="17" t="s">
        <v>79</v>
      </c>
      <c r="E29" s="19"/>
      <c r="F29" s="15">
        <v>400</v>
      </c>
      <c r="G29" s="15">
        <f>F29*C29</f>
        <v>400</v>
      </c>
      <c r="H29" s="15"/>
    </row>
    <row r="30" spans="2:8">
      <c r="B30" s="16" t="s">
        <v>45</v>
      </c>
      <c r="C30" s="17">
        <v>1</v>
      </c>
      <c r="D30" s="17" t="s">
        <v>79</v>
      </c>
      <c r="E30" s="18"/>
      <c r="F30" s="17">
        <v>1000</v>
      </c>
      <c r="G30" s="17">
        <f>F30*C30</f>
        <v>1000</v>
      </c>
      <c r="H30" s="17"/>
    </row>
    <row r="31" spans="2:8">
      <c r="B31" s="14" t="s">
        <v>84</v>
      </c>
      <c r="C31" s="15">
        <v>1</v>
      </c>
      <c r="D31" s="17" t="s">
        <v>79</v>
      </c>
      <c r="E31" s="19"/>
      <c r="F31" s="15">
        <v>300</v>
      </c>
      <c r="G31" s="15">
        <f>F31*C31</f>
        <v>300</v>
      </c>
      <c r="H31" s="15"/>
    </row>
    <row r="32" spans="2:8">
      <c r="B32" s="16" t="s">
        <v>8</v>
      </c>
      <c r="C32" s="17">
        <v>1</v>
      </c>
      <c r="D32" s="17" t="s">
        <v>79</v>
      </c>
      <c r="E32" s="18"/>
      <c r="F32" s="17">
        <v>210</v>
      </c>
      <c r="G32" s="17">
        <f>F32*C32</f>
        <v>210</v>
      </c>
      <c r="H32" s="17"/>
    </row>
    <row r="33" spans="2:8">
      <c r="B33" s="14" t="s">
        <v>43</v>
      </c>
      <c r="C33" s="15">
        <v>1</v>
      </c>
      <c r="D33" s="17" t="s">
        <v>80</v>
      </c>
      <c r="E33" s="19"/>
      <c r="F33" s="15">
        <v>20</v>
      </c>
      <c r="G33" s="15">
        <f>F33*C33</f>
        <v>20</v>
      </c>
      <c r="H33" s="15"/>
    </row>
    <row r="34" spans="2:8">
      <c r="B34" s="16" t="s">
        <v>44</v>
      </c>
      <c r="C34" s="17">
        <v>2</v>
      </c>
      <c r="D34" s="17" t="s">
        <v>79</v>
      </c>
      <c r="E34" s="18" t="s">
        <v>65</v>
      </c>
      <c r="F34" s="17">
        <v>230</v>
      </c>
      <c r="G34" s="17">
        <f>F34*C34</f>
        <v>460</v>
      </c>
      <c r="H34" s="17"/>
    </row>
    <row r="35" spans="2:8">
      <c r="B35" s="14" t="s">
        <v>42</v>
      </c>
      <c r="C35" s="15">
        <v>1</v>
      </c>
      <c r="D35" s="17" t="s">
        <v>80</v>
      </c>
      <c r="E35" s="19" t="s">
        <v>67</v>
      </c>
      <c r="F35" s="15">
        <v>25</v>
      </c>
      <c r="G35" s="15">
        <f>F35*C35</f>
        <v>25</v>
      </c>
      <c r="H35" s="15"/>
    </row>
    <row r="36" spans="2:8">
      <c r="B36" s="16" t="s">
        <v>9</v>
      </c>
      <c r="C36" s="17">
        <v>1</v>
      </c>
      <c r="D36" s="17" t="s">
        <v>79</v>
      </c>
      <c r="E36" s="18"/>
      <c r="F36" s="17">
        <v>20</v>
      </c>
      <c r="G36" s="17">
        <f>F36*C36</f>
        <v>20</v>
      </c>
      <c r="H36" s="17"/>
    </row>
    <row r="37" spans="2:8">
      <c r="B37" s="14" t="s">
        <v>40</v>
      </c>
      <c r="C37" s="15">
        <v>1</v>
      </c>
      <c r="D37" s="17" t="s">
        <v>80</v>
      </c>
      <c r="E37" s="19" t="s">
        <v>48</v>
      </c>
      <c r="F37" s="15">
        <v>140</v>
      </c>
      <c r="G37" s="15">
        <f>F37*C37</f>
        <v>140</v>
      </c>
      <c r="H37" s="15">
        <v>30</v>
      </c>
    </row>
    <row r="38" spans="2:8">
      <c r="B38" s="16" t="s">
        <v>49</v>
      </c>
      <c r="C38" s="17">
        <v>1</v>
      </c>
      <c r="D38" s="17" t="s">
        <v>80</v>
      </c>
      <c r="E38" s="18" t="s">
        <v>50</v>
      </c>
      <c r="F38" s="17">
        <v>18</v>
      </c>
      <c r="G38" s="17">
        <f>F38*C38</f>
        <v>18</v>
      </c>
      <c r="H38" s="17">
        <v>20</v>
      </c>
    </row>
    <row r="39" spans="2:8">
      <c r="B39" s="14" t="s">
        <v>41</v>
      </c>
      <c r="C39" s="15">
        <v>1</v>
      </c>
      <c r="D39" s="17" t="s">
        <v>80</v>
      </c>
      <c r="E39" s="19" t="s">
        <v>85</v>
      </c>
      <c r="F39" s="15">
        <v>315</v>
      </c>
      <c r="G39" s="15">
        <f>F39*C39</f>
        <v>315</v>
      </c>
      <c r="H39" s="15">
        <v>55</v>
      </c>
    </row>
    <row r="40" spans="2:8">
      <c r="B40" s="16" t="s">
        <v>86</v>
      </c>
      <c r="C40" s="17">
        <v>1</v>
      </c>
      <c r="D40" s="17" t="s">
        <v>80</v>
      </c>
      <c r="E40" s="18" t="s">
        <v>87</v>
      </c>
      <c r="F40" s="17">
        <v>240</v>
      </c>
      <c r="G40" s="17">
        <f>F40*C40</f>
        <v>240</v>
      </c>
      <c r="H40" s="17">
        <v>10</v>
      </c>
    </row>
    <row r="41" spans="2:8">
      <c r="B41" s="14" t="s">
        <v>88</v>
      </c>
      <c r="C41" s="15">
        <v>1</v>
      </c>
      <c r="D41" s="17" t="s">
        <v>80</v>
      </c>
      <c r="E41" s="19" t="s">
        <v>89</v>
      </c>
      <c r="F41" s="15">
        <v>74</v>
      </c>
      <c r="G41" s="15">
        <f>F41*C41</f>
        <v>74</v>
      </c>
      <c r="H41" s="15">
        <v>3.6</v>
      </c>
    </row>
    <row r="42" spans="2:8">
      <c r="B42" s="16" t="s">
        <v>54</v>
      </c>
      <c r="C42" s="17">
        <v>1</v>
      </c>
      <c r="D42" s="17" t="s">
        <v>80</v>
      </c>
      <c r="E42" s="18" t="s">
        <v>53</v>
      </c>
      <c r="F42" s="17">
        <v>558</v>
      </c>
      <c r="G42" s="17">
        <f>F42*C42</f>
        <v>558</v>
      </c>
      <c r="H42" s="17">
        <v>590</v>
      </c>
    </row>
    <row r="43" spans="2:8">
      <c r="B43" s="14" t="s">
        <v>19</v>
      </c>
      <c r="C43" s="15">
        <v>2</v>
      </c>
      <c r="D43" s="17" t="s">
        <v>79</v>
      </c>
      <c r="E43" s="19"/>
      <c r="F43" s="15">
        <v>40</v>
      </c>
      <c r="G43" s="15">
        <f>F43*C43</f>
        <v>80</v>
      </c>
      <c r="H43" s="15"/>
    </row>
    <row r="44" spans="2:8">
      <c r="B44" s="16" t="s">
        <v>56</v>
      </c>
      <c r="C44" s="17">
        <v>1</v>
      </c>
      <c r="D44" s="17" t="s">
        <v>79</v>
      </c>
      <c r="E44" s="18"/>
      <c r="F44" s="17">
        <v>0</v>
      </c>
      <c r="G44" s="17">
        <f>F44*C44</f>
        <v>0</v>
      </c>
      <c r="H44" s="17"/>
    </row>
    <row r="45" spans="2:8">
      <c r="B45" s="14" t="s">
        <v>55</v>
      </c>
      <c r="C45" s="15">
        <v>1</v>
      </c>
      <c r="D45" s="17" t="s">
        <v>80</v>
      </c>
      <c r="E45" s="19"/>
      <c r="F45" s="15">
        <v>20</v>
      </c>
      <c r="G45" s="15">
        <f>F45*C45</f>
        <v>20</v>
      </c>
      <c r="H45" s="15"/>
    </row>
    <row r="46" spans="2:8">
      <c r="B46" s="16" t="s">
        <v>57</v>
      </c>
      <c r="C46" s="17">
        <v>1</v>
      </c>
      <c r="D46" s="17" t="s">
        <v>80</v>
      </c>
      <c r="E46" s="18"/>
      <c r="F46" s="17">
        <v>0</v>
      </c>
      <c r="G46" s="17">
        <f>F46*C46</f>
        <v>0</v>
      </c>
      <c r="H46" s="17"/>
    </row>
    <row r="47" spans="2:8">
      <c r="B47" s="14" t="s">
        <v>58</v>
      </c>
      <c r="C47" s="15">
        <v>1</v>
      </c>
      <c r="D47" s="17" t="s">
        <v>79</v>
      </c>
      <c r="E47" s="19"/>
      <c r="F47" s="15">
        <v>100</v>
      </c>
      <c r="G47" s="15">
        <f>F47*C47</f>
        <v>100</v>
      </c>
      <c r="H47" s="15"/>
    </row>
    <row r="48" spans="2:8">
      <c r="B48" s="16" t="s">
        <v>10</v>
      </c>
      <c r="C48" s="17">
        <v>1</v>
      </c>
      <c r="D48" s="17" t="s">
        <v>79</v>
      </c>
      <c r="E48" s="18"/>
      <c r="F48" s="17">
        <v>200</v>
      </c>
      <c r="G48" s="17">
        <f>F48*C48</f>
        <v>200</v>
      </c>
      <c r="H48" s="17"/>
    </row>
    <row r="49" spans="2:8">
      <c r="B49" s="14" t="s">
        <v>11</v>
      </c>
      <c r="C49" s="15">
        <v>1</v>
      </c>
      <c r="D49" s="17" t="s">
        <v>79</v>
      </c>
      <c r="E49" s="19"/>
      <c r="F49" s="15">
        <v>20</v>
      </c>
      <c r="G49" s="15">
        <f>F49*C49</f>
        <v>20</v>
      </c>
      <c r="H49" s="15"/>
    </row>
    <row r="50" spans="2:8">
      <c r="B50" s="2" t="s">
        <v>74</v>
      </c>
      <c r="C50" s="3"/>
      <c r="D50" s="3"/>
      <c r="E50" s="5"/>
      <c r="F50" s="4">
        <f>SUM(F51:F56)</f>
        <v>220</v>
      </c>
      <c r="G50" s="4">
        <f>SUM(G51:G56)</f>
        <v>240</v>
      </c>
      <c r="H50" s="4">
        <f>SUM(H51:H56)</f>
        <v>0</v>
      </c>
    </row>
    <row r="51" spans="2:8">
      <c r="B51" s="16" t="s">
        <v>12</v>
      </c>
      <c r="C51" s="17">
        <v>1</v>
      </c>
      <c r="D51" s="17" t="s">
        <v>80</v>
      </c>
      <c r="E51" s="18"/>
      <c r="F51" s="17">
        <v>0</v>
      </c>
      <c r="G51" s="17">
        <f>F51*C51</f>
        <v>0</v>
      </c>
      <c r="H51" s="17"/>
    </row>
    <row r="52" spans="2:8">
      <c r="B52" s="14" t="s">
        <v>18</v>
      </c>
      <c r="C52" s="15">
        <v>2</v>
      </c>
      <c r="D52" s="17" t="s">
        <v>79</v>
      </c>
      <c r="E52" s="19"/>
      <c r="F52" s="15">
        <v>20</v>
      </c>
      <c r="G52" s="15">
        <f>F52*C52</f>
        <v>40</v>
      </c>
      <c r="H52" s="15"/>
    </row>
    <row r="53" spans="2:8">
      <c r="B53" s="16" t="s">
        <v>17</v>
      </c>
      <c r="C53" s="17">
        <v>2</v>
      </c>
      <c r="D53" s="17" t="s">
        <v>79</v>
      </c>
      <c r="E53" s="18"/>
      <c r="F53" s="17">
        <v>0</v>
      </c>
      <c r="G53" s="17">
        <f>F53*C53</f>
        <v>0</v>
      </c>
      <c r="H53" s="17"/>
    </row>
    <row r="54" spans="2:8">
      <c r="B54" s="14" t="s">
        <v>13</v>
      </c>
      <c r="C54" s="15">
        <v>1</v>
      </c>
      <c r="D54" s="17" t="s">
        <v>79</v>
      </c>
      <c r="E54" s="19"/>
      <c r="F54" s="15">
        <v>0</v>
      </c>
      <c r="G54" s="15">
        <f>F54*C54</f>
        <v>0</v>
      </c>
      <c r="H54" s="15"/>
    </row>
    <row r="55" spans="2:8">
      <c r="B55" s="16" t="s">
        <v>14</v>
      </c>
      <c r="C55" s="17">
        <v>1</v>
      </c>
      <c r="D55" s="17" t="s">
        <v>79</v>
      </c>
      <c r="E55" s="18"/>
      <c r="F55" s="17">
        <v>0</v>
      </c>
      <c r="G55" s="17">
        <f>F55*C55</f>
        <v>0</v>
      </c>
      <c r="H55" s="17"/>
    </row>
    <row r="56" spans="2:8">
      <c r="B56" s="14" t="s">
        <v>75</v>
      </c>
      <c r="C56" s="15">
        <v>1</v>
      </c>
      <c r="D56" s="17" t="s">
        <v>79</v>
      </c>
      <c r="E56" s="19"/>
      <c r="F56" s="15">
        <v>200</v>
      </c>
      <c r="G56" s="15">
        <f>F56*C56</f>
        <v>200</v>
      </c>
      <c r="H56" s="15"/>
    </row>
    <row r="57" spans="2:8">
      <c r="B57" s="2" t="s">
        <v>32</v>
      </c>
      <c r="C57" s="3"/>
      <c r="D57" s="3"/>
      <c r="E57" s="5"/>
      <c r="F57" s="4">
        <f>SUM(F58:F949)</f>
        <v>3631</v>
      </c>
      <c r="G57" s="4">
        <f>SUM(G58:G949)</f>
        <v>3631</v>
      </c>
      <c r="H57" s="4">
        <f>SUM(H58:H949)</f>
        <v>119</v>
      </c>
    </row>
    <row r="58" spans="2:8">
      <c r="B58" s="16" t="s">
        <v>33</v>
      </c>
      <c r="C58" s="17">
        <v>1</v>
      </c>
      <c r="D58" s="17" t="s">
        <v>79</v>
      </c>
      <c r="E58" s="18"/>
      <c r="F58" s="17">
        <v>100</v>
      </c>
      <c r="G58" s="17">
        <f>F58*C58</f>
        <v>100</v>
      </c>
      <c r="H58" s="17"/>
    </row>
    <row r="59" spans="2:8">
      <c r="B59" s="14" t="s">
        <v>34</v>
      </c>
      <c r="C59" s="15">
        <v>1</v>
      </c>
      <c r="D59" s="17" t="s">
        <v>79</v>
      </c>
      <c r="E59" s="19" t="s">
        <v>69</v>
      </c>
      <c r="F59" s="15">
        <v>1300</v>
      </c>
      <c r="G59" s="15">
        <f>F59*C59</f>
        <v>1300</v>
      </c>
      <c r="H59" s="15"/>
    </row>
    <row r="60" spans="2:8">
      <c r="B60" s="16" t="s">
        <v>35</v>
      </c>
      <c r="C60" s="17">
        <v>1</v>
      </c>
      <c r="D60" s="17" t="s">
        <v>79</v>
      </c>
      <c r="E60" s="18" t="s">
        <v>68</v>
      </c>
      <c r="F60" s="17">
        <v>250</v>
      </c>
      <c r="G60" s="17">
        <f>F60*C60</f>
        <v>250</v>
      </c>
      <c r="H60" s="17"/>
    </row>
    <row r="61" spans="2:8">
      <c r="B61" s="14" t="s">
        <v>36</v>
      </c>
      <c r="C61" s="15">
        <v>1</v>
      </c>
      <c r="D61" s="17" t="s">
        <v>79</v>
      </c>
      <c r="E61" s="19"/>
      <c r="F61" s="15">
        <v>150</v>
      </c>
      <c r="G61" s="15">
        <f>F61*C61</f>
        <v>150</v>
      </c>
      <c r="H61" s="15"/>
    </row>
    <row r="62" spans="2:8">
      <c r="B62" s="16" t="s">
        <v>37</v>
      </c>
      <c r="C62" s="17">
        <v>1</v>
      </c>
      <c r="D62" s="17" t="s">
        <v>79</v>
      </c>
      <c r="E62" s="18"/>
      <c r="F62" s="17">
        <v>0</v>
      </c>
      <c r="G62" s="17">
        <f>F62*C62</f>
        <v>0</v>
      </c>
      <c r="H62" s="17"/>
    </row>
    <row r="63" spans="2:8">
      <c r="B63" s="14" t="s">
        <v>38</v>
      </c>
      <c r="C63" s="15">
        <v>1</v>
      </c>
      <c r="D63" s="17" t="s">
        <v>79</v>
      </c>
      <c r="E63" s="19"/>
      <c r="F63" s="15">
        <v>150</v>
      </c>
      <c r="G63" s="15">
        <f>F63*C63</f>
        <v>150</v>
      </c>
      <c r="H63" s="15"/>
    </row>
    <row r="64" spans="2:8">
      <c r="B64" s="16" t="s">
        <v>61</v>
      </c>
      <c r="C64" s="17">
        <v>1</v>
      </c>
      <c r="D64" s="17" t="s">
        <v>80</v>
      </c>
      <c r="E64" s="18" t="s">
        <v>59</v>
      </c>
      <c r="F64" s="17">
        <v>35</v>
      </c>
      <c r="G64" s="17">
        <f>F64*C64</f>
        <v>35</v>
      </c>
      <c r="H64" s="17"/>
    </row>
    <row r="65" spans="2:8">
      <c r="B65" s="14" t="s">
        <v>62</v>
      </c>
      <c r="C65" s="15">
        <v>1</v>
      </c>
      <c r="D65" s="17" t="s">
        <v>80</v>
      </c>
      <c r="E65" s="19" t="s">
        <v>60</v>
      </c>
      <c r="F65" s="15">
        <v>60</v>
      </c>
      <c r="G65" s="15">
        <f>F65*C65</f>
        <v>60</v>
      </c>
      <c r="H65" s="15"/>
    </row>
    <row r="66" spans="2:8">
      <c r="B66" s="16" t="s">
        <v>63</v>
      </c>
      <c r="C66" s="17">
        <v>1</v>
      </c>
      <c r="D66" s="17" t="s">
        <v>80</v>
      </c>
      <c r="E66" s="18" t="s">
        <v>64</v>
      </c>
      <c r="F66" s="17">
        <v>36</v>
      </c>
      <c r="G66" s="17">
        <f>F66*C66</f>
        <v>36</v>
      </c>
      <c r="H66" s="17"/>
    </row>
    <row r="67" spans="2:8">
      <c r="B67" s="14" t="s">
        <v>76</v>
      </c>
      <c r="C67" s="15">
        <v>1</v>
      </c>
      <c r="D67" s="17" t="s">
        <v>79</v>
      </c>
      <c r="E67" s="19" t="s">
        <v>77</v>
      </c>
      <c r="F67" s="15">
        <v>1550</v>
      </c>
      <c r="G67" s="15">
        <f>F67*C67</f>
        <v>1550</v>
      </c>
      <c r="H67" s="15"/>
    </row>
    <row r="68" spans="2:8">
      <c r="B68" s="16" t="s">
        <v>91</v>
      </c>
      <c r="C68" s="17">
        <v>1</v>
      </c>
      <c r="D68" s="17" t="s">
        <v>80</v>
      </c>
      <c r="E68" s="18" t="s">
        <v>92</v>
      </c>
      <c r="F68" s="17">
        <v>0</v>
      </c>
      <c r="G68" s="17">
        <f>F68*C68</f>
        <v>0</v>
      </c>
      <c r="H68" s="17">
        <v>19</v>
      </c>
    </row>
    <row r="69" spans="2:8">
      <c r="B69" s="14" t="s">
        <v>93</v>
      </c>
      <c r="C69" s="15">
        <v>1</v>
      </c>
      <c r="D69" s="17" t="s">
        <v>80</v>
      </c>
      <c r="E69" s="19" t="s">
        <v>94</v>
      </c>
      <c r="F69" s="15">
        <v>0</v>
      </c>
      <c r="G69" s="15">
        <f>F69*C69</f>
        <v>0</v>
      </c>
      <c r="H69" s="15">
        <v>100</v>
      </c>
    </row>
    <row r="70" spans="2:8">
      <c r="B70" s="16"/>
      <c r="C70" s="17"/>
      <c r="D70" s="17"/>
      <c r="E70" s="18"/>
      <c r="F70" s="17"/>
      <c r="G70" s="17"/>
      <c r="H70" s="17"/>
    </row>
    <row r="71" spans="2:8">
      <c r="B71" s="14"/>
      <c r="C71" s="15"/>
      <c r="D71" s="17"/>
      <c r="E71" s="19"/>
      <c r="F71" s="15"/>
      <c r="G71" s="15"/>
      <c r="H71" s="15"/>
    </row>
    <row r="72" spans="2:8">
      <c r="B72" s="16"/>
      <c r="C72" s="17"/>
      <c r="D72" s="17"/>
      <c r="E72" s="18"/>
      <c r="F72" s="17"/>
      <c r="G72" s="17"/>
      <c r="H72" s="17"/>
    </row>
    <row r="73" spans="2:8">
      <c r="B73" s="14"/>
      <c r="C73" s="15"/>
      <c r="D73" s="17"/>
      <c r="E73" s="19"/>
      <c r="F73" s="15"/>
      <c r="G73" s="15"/>
      <c r="H73" s="15"/>
    </row>
    <row r="74" spans="2:8">
      <c r="B74" s="16"/>
      <c r="C74" s="17"/>
      <c r="D74" s="17"/>
      <c r="E74" s="18"/>
      <c r="F74" s="17"/>
      <c r="G74" s="17"/>
      <c r="H74" s="17"/>
    </row>
    <row r="75" spans="2:8">
      <c r="B75" s="14"/>
      <c r="C75" s="15"/>
      <c r="D75" s="17"/>
      <c r="E75" s="19"/>
      <c r="F75" s="15"/>
      <c r="G75" s="15"/>
      <c r="H75" s="15"/>
    </row>
  </sheetData>
  <conditionalFormatting sqref="D51:D56 D5:D15 D17:D26 D28:D49 D58:D75">
    <cfRule type="expression" dxfId="7" priority="3">
      <formula>IF(D5="x",TRUE,FALSE)</formula>
    </cfRule>
    <cfRule type="expression" dxfId="6" priority="4">
      <formula>IF(D5="v",TRUE,FALSE)+$A$5:$D$5</formula>
    </cfRule>
  </conditionalFormatting>
  <conditionalFormatting sqref="D68:D75">
    <cfRule type="expression" dxfId="5" priority="1">
      <formula>IF(D68="x",TRUE,FALSE)</formula>
    </cfRule>
    <cfRule type="expression" dxfId="4" priority="2">
      <formula>IF(D68="v",TRUE,FALSE)+$A$5:$D$5</formula>
    </cfRule>
  </conditionalFormatting>
  <hyperlinks>
    <hyperlink ref="E37" r:id="rId1"/>
    <hyperlink ref="E38" r:id="rId2"/>
    <hyperlink ref="E39" r:id="rId3"/>
    <hyperlink ref="E42" r:id="rId4"/>
    <hyperlink ref="E64" r:id="rId5"/>
    <hyperlink ref="E65" r:id="rId6"/>
    <hyperlink ref="E66" r:id="rId7"/>
    <hyperlink ref="E34" r:id="rId8"/>
    <hyperlink ref="E12" r:id="rId9"/>
    <hyperlink ref="E35" r:id="rId10"/>
    <hyperlink ref="E60" r:id="rId11"/>
    <hyperlink ref="E59" display="http://www.darty.com/nav/achat/informatique/ordinateur_portable/portable_hybride/acer_switch_s1002-16n3.html?dartycid=sea_shopping-online_PLA-Informatique/PC-Hybride---PC-2-en-1_adgroup_PC-Hybride---PC-2-en-1/Acer-custom-label-produit-en-reduction&amp;s_kwcid"/>
    <hyperlink ref="E11" r:id="rId12"/>
    <hyperlink ref="E8" r:id="rId13"/>
    <hyperlink ref="E21" r:id="rId14"/>
    <hyperlink ref="E67" r:id="rId15"/>
    <hyperlink ref="E40" r:id="rId16"/>
    <hyperlink ref="E41" r:id="rId17"/>
    <hyperlink ref="E68" r:id="rId18"/>
    <hyperlink ref="E69" r:id="rId19"/>
  </hyperlinks>
  <pageMargins left="0.7" right="0.7" top="0.75" bottom="0.75" header="0.3" footer="0.3"/>
  <pageSetup paperSize="9" orientation="portrait" r:id="rId2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SOCIETE GENERALE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Thibault MONTAUFRAY (tmontauf040213)</dc:creator>
  <cp:lastModifiedBy>Thibault MONTAUFRAY (tmontauf040213)</cp:lastModifiedBy>
  <dcterms:created xsi:type="dcterms:W3CDTF">2016-08-24T12:27:46Z</dcterms:created>
  <dcterms:modified xsi:type="dcterms:W3CDTF">2016-08-30T09:41:43Z</dcterms:modified>
</cp:coreProperties>
</file>